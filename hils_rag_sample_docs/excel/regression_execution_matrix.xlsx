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oru\Documents\hils_rag_sample_docs\excel\"/>
    </mc:Choice>
  </mc:AlternateContent>
  <xr:revisionPtr revIDLastSave="0" documentId="8_{A6D4A5FA-B9BA-4404-A9F1-BE80AC776F47}" xr6:coauthVersionLast="47" xr6:coauthVersionMax="47" xr10:uidLastSave="{00000000-0000-0000-0000-000000000000}"/>
  <bookViews>
    <workbookView xWindow="3870" yWindow="3300" windowWidth="21600" windowHeight="11295" xr2:uid="{167DBC89-1801-426E-A7A5-B7DADA8682F8}"/>
  </bookViews>
  <sheets>
    <sheet name="Coverage" sheetId="2" r:id="rId1"/>
    <sheet name="Execu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</calcChain>
</file>

<file path=xl/sharedStrings.xml><?xml version="1.0" encoding="utf-8"?>
<sst xmlns="http://schemas.openxmlformats.org/spreadsheetml/2006/main" count="49" uniqueCount="39">
  <si>
    <t>TestID</t>
  </si>
  <si>
    <t>Feature</t>
  </si>
  <si>
    <t>Bench</t>
  </si>
  <si>
    <t>Owner</t>
  </si>
  <si>
    <t>Priority</t>
  </si>
  <si>
    <t>Result</t>
  </si>
  <si>
    <t>Notes</t>
  </si>
  <si>
    <t>TC-101</t>
  </si>
  <si>
    <t>power mode</t>
  </si>
  <si>
    <t>Bench-A</t>
  </si>
  <si>
    <t>Kimura</t>
  </si>
  <si>
    <t>High</t>
  </si>
  <si>
    <t>Pass</t>
  </si>
  <si>
    <t>baseline ready</t>
  </si>
  <si>
    <t>TC-107</t>
  </si>
  <si>
    <t>regen brake</t>
  </si>
  <si>
    <t>Bench-B</t>
  </si>
  <si>
    <t>Arai</t>
  </si>
  <si>
    <t>Fail</t>
  </si>
  <si>
    <t>RB-07 repeat</t>
  </si>
  <si>
    <t>TC-112</t>
  </si>
  <si>
    <t>diag recovery</t>
  </si>
  <si>
    <t>Sato</t>
  </si>
  <si>
    <t>Med</t>
  </si>
  <si>
    <t>Watch</t>
  </si>
  <si>
    <t>session linger</t>
  </si>
  <si>
    <t>TC-130</t>
  </si>
  <si>
    <t>thermal derate</t>
  </si>
  <si>
    <t>Bench-C</t>
  </si>
  <si>
    <t>Ito</t>
  </si>
  <si>
    <t>level2 reached</t>
  </si>
  <si>
    <t>TC-145</t>
  </si>
  <si>
    <t>dc charge</t>
  </si>
  <si>
    <t>Nakamura</t>
  </si>
  <si>
    <t>Low</t>
  </si>
  <si>
    <t>Blocked</t>
  </si>
  <si>
    <t>pilot stub issue</t>
  </si>
  <si>
    <t>Regression Execution Matrix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</si>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</sst>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Execution result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Coverage!$B$3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Coverage!$A$4:$A$7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Watch</c:v>
                </c:pt>
                <c:pt idx="3">
                  <c:v>Blocked</c:v>
                </c:pt>
              </c:strCache>
            </c:strRef>
          </c:cat>
          <c:val>
            <c:numRef>
              <c:f>Coverage!$B$4:$B$7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1-4D56-963C-C4D1C7FF2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838192"/>
        <c:axId val="1960852112"/>
      </c:lineChart>
      <c:catAx>
        <c:axId val="196083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0852112"/>
        <c:crosses val="autoZero"/>
        <c:auto val="1"/>
        <c:lblAlgn val="ctr"/>
        <c:lblOffset val="100"/>
        <c:noMultiLvlLbl val="0"/>
      </c:catAx>
      <c:valAx>
        <c:axId val="196085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083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4</xdr:row>
      <xdr:rowOff>190500</xdr:rowOff>
    </xdr:from>
    <xdr:to>
      <xdr:col>9</xdr:col>
      <xdr:colOff>219075</xdr:colOff>
      <xdr:row>17</xdr:row>
      <xdr:rowOff>15875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8D6780-059F-8914-2FC5-64C9A8DAC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174F-EE2A-487D-91F0-DC1DC6AB1336}">
  <dimension ref="A1:B7"/>
  <sheetViews>
    <sheetView tabSelected="1" workbookViewId="0"/>
  </sheetViews>
  <sheetFormatPr defaultRowHeight="18.75" x14ac:dyDescent="0.4"/>
  <cols>
    <col min="1" max="1" width="27.5" bestFit="1" customWidth="1"/>
    <col min="2" max="2" width="6.625" bestFit="1" customWidth="1"/>
  </cols>
  <sheetData>
    <row r="1" spans="1:2" x14ac:dyDescent="0.4">
      <c r="A1" t="s">
        <v>37</v>
      </c>
    </row>
    <row r="3" spans="1:2" x14ac:dyDescent="0.4">
      <c r="A3" t="s">
        <v>5</v>
      </c>
      <c r="B3" t="s">
        <v>38</v>
      </c>
    </row>
    <row r="4" spans="1:2" x14ac:dyDescent="0.4">
      <c r="A4" t="s">
        <v>12</v>
      </c>
      <c r="B4">
        <f>COUNTIF(Execution!F:F,"Pass")</f>
        <v>2</v>
      </c>
    </row>
    <row r="5" spans="1:2" x14ac:dyDescent="0.4">
      <c r="A5" t="s">
        <v>18</v>
      </c>
      <c r="B5">
        <f>COUNTIF(Execution!F:F,"Fail")</f>
        <v>1</v>
      </c>
    </row>
    <row r="6" spans="1:2" x14ac:dyDescent="0.4">
      <c r="A6" t="s">
        <v>24</v>
      </c>
      <c r="B6">
        <f>COUNTIF(Execution!F:F,"Watch")</f>
        <v>1</v>
      </c>
    </row>
    <row r="7" spans="1:2" x14ac:dyDescent="0.4">
      <c r="A7" t="s">
        <v>35</v>
      </c>
      <c r="B7">
        <f>COUNTIF(Execution!F:F,"Blocked")</f>
        <v>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0540-EF33-4980-A97E-0AFAD2A675D5}">
  <dimension ref="A1:G6"/>
  <sheetViews>
    <sheetView workbookViewId="0"/>
  </sheetViews>
  <sheetFormatPr defaultRowHeight="18.75" x14ac:dyDescent="0.4"/>
  <cols>
    <col min="1" max="1" width="7.75" bestFit="1" customWidth="1"/>
    <col min="2" max="2" width="14.25" bestFit="1" customWidth="1"/>
    <col min="3" max="3" width="9.125" bestFit="1" customWidth="1"/>
    <col min="4" max="4" width="10.25" bestFit="1" customWidth="1"/>
    <col min="5" max="5" width="7.5" bestFit="1" customWidth="1"/>
    <col min="6" max="6" width="8.375" bestFit="1" customWidth="1"/>
    <col min="7" max="7" width="15.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4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4">
      <c r="A5" t="s">
        <v>26</v>
      </c>
      <c r="B5" t="s">
        <v>27</v>
      </c>
      <c r="C5" t="s">
        <v>28</v>
      </c>
      <c r="D5" t="s">
        <v>29</v>
      </c>
      <c r="E5" t="s">
        <v>23</v>
      </c>
      <c r="F5" t="s">
        <v>12</v>
      </c>
      <c r="G5" t="s">
        <v>30</v>
      </c>
    </row>
    <row r="6" spans="1:7" x14ac:dyDescent="0.4">
      <c r="A6" t="s">
        <v>31</v>
      </c>
      <c r="B6" t="s">
        <v>32</v>
      </c>
      <c r="C6" t="s">
        <v>16</v>
      </c>
      <c r="D6" t="s">
        <v>33</v>
      </c>
      <c r="E6" t="s">
        <v>34</v>
      </c>
      <c r="F6" t="s">
        <v>35</v>
      </c>
      <c r="G6" t="s">
        <v>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Coverage</vt:lpstr>
      <vt:lpstr>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薫 和田</dc:creator>
  <cp:lastModifiedBy>薫 和田</cp:lastModifiedBy>
  <dcterms:created xsi:type="dcterms:W3CDTF">2026-05-30T11:42:29Z</dcterms:created>
  <dcterms:modified xsi:type="dcterms:W3CDTF">2026-05-30T11:42:30Z</dcterms:modified>
</cp:coreProperties>
</file>